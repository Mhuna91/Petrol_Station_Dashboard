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9181173F-908D-4CA0-A21D-439BA2B389ED}" xr6:coauthVersionLast="47" xr6:coauthVersionMax="47" xr10:uidLastSave="{00000000-0000-0000-0000-000000000000}"/>
  <bookViews>
    <workbookView xWindow="-110" yWindow="-110" windowWidth="19420" windowHeight="10300" activeTab="4" xr2:uid="{00000000-000D-0000-FFFF-FFFF00000000}"/>
  </bookViews>
  <sheets>
    <sheet name="ELSA_OIL_Data" sheetId="1" r:id="rId1"/>
    <sheet name="PIVOT" sheetId="6" r:id="rId2"/>
    <sheet name="PIVOT2" sheetId="9" r:id="rId3"/>
    <sheet name="KPI_CALC" sheetId="3" r:id="rId4"/>
    <sheet name="DASHBOARD" sheetId="11" r:id="rId5"/>
  </sheets>
  <definedNames>
    <definedName name="Slicer_Branch_Name">#N/A</definedName>
    <definedName name="Slicer_KPI_Status">#N/A</definedName>
    <definedName name="Slicer_Product">#N/A</definedName>
  </definedNames>
  <calcPr calcId="191029"/>
  <pivotCaches>
    <pivotCache cacheId="2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3" l="1"/>
  <c r="H5" i="1"/>
  <c r="L17" i="1"/>
  <c r="L16" i="1"/>
  <c r="L15" i="1"/>
  <c r="L14" i="1"/>
  <c r="L11" i="1"/>
  <c r="L12" i="1"/>
  <c r="L13" i="1"/>
  <c r="L10" i="1"/>
  <c r="L9" i="1"/>
  <c r="L8" i="1"/>
  <c r="L7" i="1"/>
  <c r="L6" i="1"/>
  <c r="L3" i="1"/>
  <c r="L4" i="1"/>
  <c r="L5" i="1"/>
  <c r="L2" i="1"/>
  <c r="H17" i="1"/>
  <c r="H16" i="1"/>
  <c r="J16" i="1" s="1"/>
  <c r="M16" i="1" s="1"/>
  <c r="H3" i="1"/>
  <c r="H4" i="1"/>
  <c r="H2" i="1"/>
  <c r="H9" i="1"/>
  <c r="J9" i="1" s="1"/>
  <c r="H8" i="1"/>
  <c r="J8" i="1" s="1"/>
  <c r="H15" i="1"/>
  <c r="H14" i="1"/>
  <c r="H11" i="1"/>
  <c r="J11" i="1" s="1"/>
  <c r="N11" i="1" s="1"/>
  <c r="H12" i="1"/>
  <c r="H13" i="1"/>
  <c r="H10" i="1"/>
  <c r="J10" i="1" s="1"/>
  <c r="N10" i="1" s="1"/>
  <c r="H7" i="1"/>
  <c r="J7" i="1" s="1"/>
  <c r="M7" i="1" s="1"/>
  <c r="H6" i="1"/>
  <c r="J6" i="1" s="1"/>
  <c r="M6" i="1" s="1"/>
  <c r="J2" i="1" l="1"/>
  <c r="N6" i="1"/>
  <c r="J4" i="1"/>
  <c r="M4" i="1" s="1"/>
  <c r="N15" i="1"/>
  <c r="N8" i="1"/>
  <c r="M8" i="1"/>
  <c r="N9" i="1"/>
  <c r="M9" i="1"/>
  <c r="J17" i="1"/>
  <c r="M17" i="1" s="1"/>
  <c r="M11" i="1"/>
  <c r="J15" i="1"/>
  <c r="M15" i="1" s="1"/>
  <c r="M10" i="1"/>
  <c r="J3" i="1"/>
  <c r="M3" i="1" s="1"/>
  <c r="J14" i="1"/>
  <c r="M14" i="1" s="1"/>
  <c r="N16" i="1"/>
  <c r="N7" i="1"/>
  <c r="J13" i="1"/>
  <c r="M13" i="1" s="1"/>
  <c r="J12" i="1"/>
  <c r="M12" i="1" s="1"/>
  <c r="J5" i="1"/>
  <c r="M5" i="1" s="1"/>
  <c r="N2" i="1" l="1"/>
  <c r="C4" i="3"/>
  <c r="M2" i="1"/>
  <c r="C2" i="3" s="1"/>
  <c r="N4" i="1"/>
  <c r="N12" i="1"/>
  <c r="N13" i="1"/>
  <c r="N14" i="1"/>
  <c r="N17" i="1"/>
  <c r="N3" i="1"/>
  <c r="N5" i="1"/>
  <c r="C6" i="3" l="1"/>
</calcChain>
</file>

<file path=xl/sharedStrings.xml><?xml version="1.0" encoding="utf-8"?>
<sst xmlns="http://schemas.openxmlformats.org/spreadsheetml/2006/main" count="127" uniqueCount="71">
  <si>
    <t>Branch_Name</t>
  </si>
  <si>
    <t>Product</t>
  </si>
  <si>
    <t>Product_ID</t>
  </si>
  <si>
    <t>Pump_Attendant_ID</t>
  </si>
  <si>
    <t>Tank_Capacity</t>
  </si>
  <si>
    <t>Initial_Stock_60pct</t>
  </si>
  <si>
    <t>Pump_Percentage</t>
  </si>
  <si>
    <t>Quantity_Sold</t>
  </si>
  <si>
    <t>Sales_per_Tank</t>
  </si>
  <si>
    <t>Cost_Price</t>
  </si>
  <si>
    <t>Cost_per_Tank</t>
  </si>
  <si>
    <t>Current_Stock</t>
  </si>
  <si>
    <t>KPI_Status</t>
  </si>
  <si>
    <t>Ekewan Road</t>
  </si>
  <si>
    <t>PMS</t>
  </si>
  <si>
    <t>PRD_001</t>
  </si>
  <si>
    <t>PRD_002</t>
  </si>
  <si>
    <t>PRD_003</t>
  </si>
  <si>
    <t>PRD_004</t>
  </si>
  <si>
    <t>Diesel</t>
  </si>
  <si>
    <t>PRD_005</t>
  </si>
  <si>
    <t>PRD_006</t>
  </si>
  <si>
    <t>Kerosene</t>
  </si>
  <si>
    <t>PRD_007</t>
  </si>
  <si>
    <t>Gas</t>
  </si>
  <si>
    <t>PRD_008</t>
  </si>
  <si>
    <t>New Lagos Road</t>
  </si>
  <si>
    <t>PRD_009</t>
  </si>
  <si>
    <t>PRD_010</t>
  </si>
  <si>
    <t>PRD_011</t>
  </si>
  <si>
    <t>PRD_012</t>
  </si>
  <si>
    <t>PRD_013</t>
  </si>
  <si>
    <t>PRD_014</t>
  </si>
  <si>
    <t>PRD_015</t>
  </si>
  <si>
    <t>PRD_016</t>
  </si>
  <si>
    <t>EKW_PMS_01</t>
  </si>
  <si>
    <t>EKW_PMS_02</t>
  </si>
  <si>
    <t>EKW_PMS_03</t>
  </si>
  <si>
    <t>EKW_PMS_04</t>
  </si>
  <si>
    <t>EKW_DSL_05</t>
  </si>
  <si>
    <t>EKW_DSL_06</t>
  </si>
  <si>
    <t>EKW_KER_07</t>
  </si>
  <si>
    <t>EKW_GAS_08</t>
  </si>
  <si>
    <t>NLR_PMS_09</t>
  </si>
  <si>
    <t>NLR_PMS_10</t>
  </si>
  <si>
    <t>NLR_PMS_11</t>
  </si>
  <si>
    <t>NLR_PMS_12</t>
  </si>
  <si>
    <t>NLR_DSL_13</t>
  </si>
  <si>
    <t>NLR_DSL_14</t>
  </si>
  <si>
    <t>NLR_KER_15</t>
  </si>
  <si>
    <t>NLR_GAS_16</t>
  </si>
  <si>
    <t>REORDER</t>
  </si>
  <si>
    <t>OK</t>
  </si>
  <si>
    <t>Product_Sold_Time</t>
  </si>
  <si>
    <t>Pump_ID</t>
  </si>
  <si>
    <t>PUMP_01</t>
  </si>
  <si>
    <t>PUMP_02</t>
  </si>
  <si>
    <t>PUMP_03</t>
  </si>
  <si>
    <t>PUMP_04</t>
  </si>
  <si>
    <t>PUMP_05</t>
  </si>
  <si>
    <t>PUMP_06</t>
  </si>
  <si>
    <t>PUMP_07</t>
  </si>
  <si>
    <t>PUMP_08</t>
  </si>
  <si>
    <t>Total Revenue</t>
  </si>
  <si>
    <t>Total Quantity Sold</t>
  </si>
  <si>
    <t>Total Current Stock</t>
  </si>
  <si>
    <t>Pumps in REORDER</t>
  </si>
  <si>
    <t>Row Labels</t>
  </si>
  <si>
    <t>Grand Total</t>
  </si>
  <si>
    <t>Sum of Cost_per_Tank</t>
  </si>
  <si>
    <t>Count of Pump_ID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</si>
</sst>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indexed="64"/>
      </patternFill>
    </fill>
  </fills>
  <borders count="6">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1">
    <xf numFmtId="0" fontId="0" fillId="0" borderId="0"/>
  </cellStyleXfs>
  <cellXfs count="17">
    <xf numFmtId="0" fontId="0" fillId="0" borderId="0" xfId="0"/>
    <xf numFmtId="0" fontId="1" fillId="0" borderId="0" xfId="0" applyFont="1"/>
    <xf numFmtId="0" fontId="0" fillId="4" borderId="1" xfId="0" applyFont="1" applyFill="1" applyBorder="1"/>
    <xf numFmtId="0" fontId="3" fillId="2" borderId="0" xfId="0" applyFont="1" applyFill="1" applyBorder="1"/>
    <xf numFmtId="0" fontId="3" fillId="2" borderId="2" xfId="0" applyFont="1" applyFill="1" applyBorder="1"/>
    <xf numFmtId="0" fontId="0" fillId="3" borderId="3" xfId="0" applyFont="1" applyFill="1" applyBorder="1"/>
    <xf numFmtId="0" fontId="0" fillId="3" borderId="4" xfId="0" applyFont="1" applyFill="1" applyBorder="1"/>
    <xf numFmtId="20" fontId="0" fillId="3" borderId="4" xfId="0" applyNumberFormat="1" applyFont="1" applyFill="1" applyBorder="1"/>
    <xf numFmtId="0" fontId="0" fillId="4" borderId="5" xfId="0" applyFont="1" applyFill="1" applyBorder="1"/>
    <xf numFmtId="20" fontId="0" fillId="4" borderId="1" xfId="0" applyNumberFormat="1" applyFont="1" applyFill="1" applyBorder="1"/>
    <xf numFmtId="0" fontId="0" fillId="3" borderId="5" xfId="0" applyFont="1" applyFill="1" applyBorder="1"/>
    <xf numFmtId="0" fontId="0" fillId="3" borderId="1" xfId="0" applyFont="1" applyFill="1" applyBorder="1"/>
    <xf numFmtId="20" fontId="0" fillId="3" borderId="1"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0" fontId="0" fillId="5" borderId="0" xfId="0" applyFill="1"/>
  </cellXfs>
  <cellStyles count="1">
    <cellStyle name="Normal" xfId="0" builtinId="0"/>
  </cellStyles>
  <dxfs count="18">
    <dxf>
      <fill>
        <patternFill>
          <bgColor rgb="FFFF0000"/>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25" formatCode="h:mm"/>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[ELSA_OIL_DATASET.xlsx]PIVOT!PivotTable5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vs Sum of Cost per Tank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7030A0"/>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pivotFmt>
      <c:pivotFmt>
        <c:idx val="6"/>
        <c:spPr>
          <a:solidFill>
            <a:srgbClr val="00B050"/>
          </a:solidFill>
          <a:ln>
            <a:noFill/>
          </a:ln>
          <a:effectLst/>
        </c:spPr>
      </c:pivotFmt>
      <c:pivotFmt>
        <c:idx val="7"/>
        <c:spPr>
          <a:solidFill>
            <a:srgbClr val="C0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pivotFmt>
      <c:pivotFmt>
        <c:idx val="10"/>
        <c:spPr>
          <a:solidFill>
            <a:srgbClr val="00B050"/>
          </a:solidFill>
          <a:ln>
            <a:noFill/>
          </a:ln>
          <a:effectLst/>
        </c:spPr>
      </c:pivotFmt>
      <c:pivotFmt>
        <c:idx val="11"/>
        <c:spPr>
          <a:solidFill>
            <a:srgbClr val="C000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pivotFmt>
      <c:pivotFmt>
        <c:idx val="16"/>
        <c:spPr>
          <a:solidFill>
            <a:srgbClr val="0070C0"/>
          </a:solidFill>
          <a:ln>
            <a:noFill/>
          </a:ln>
          <a:effectLst/>
        </c:spPr>
      </c:pivotFmt>
      <c:pivotFmt>
        <c:idx val="17"/>
        <c:spPr>
          <a:solidFill>
            <a:srgbClr val="FFC000"/>
          </a:solidFill>
          <a:ln>
            <a:noFill/>
          </a:ln>
          <a:effectLst/>
        </c:spPr>
      </c:pivotFmt>
      <c:pivotFmt>
        <c:idx val="18"/>
        <c:spPr>
          <a:solidFill>
            <a:srgbClr val="92D050"/>
          </a:solidFill>
          <a:ln>
            <a:noFill/>
          </a:ln>
          <a:effectLst/>
        </c:spPr>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C-9F35-4F26-A008-F1BB21D9CC25}"/>
              </c:ext>
            </c:extLst>
          </c:dPt>
          <c:dPt>
            <c:idx val="1"/>
            <c:invertIfNegative val="0"/>
            <c:bubble3D val="0"/>
            <c:spPr>
              <a:solidFill>
                <a:srgbClr val="FFC000"/>
              </a:solidFill>
              <a:ln>
                <a:noFill/>
              </a:ln>
              <a:effectLst/>
            </c:spPr>
            <c:extLst>
              <c:ext xmlns:c16="http://schemas.microsoft.com/office/drawing/2014/chart" uri="{C3380CC4-5D6E-409C-BE32-E72D297353CC}">
                <c16:uniqueId val="{0000000D-9F35-4F26-A008-F1BB21D9CC25}"/>
              </c:ext>
            </c:extLst>
          </c:dPt>
          <c:dPt>
            <c:idx val="2"/>
            <c:invertIfNegative val="0"/>
            <c:bubble3D val="0"/>
            <c:spPr>
              <a:solidFill>
                <a:srgbClr val="92D050"/>
              </a:solidFill>
              <a:ln>
                <a:noFill/>
              </a:ln>
              <a:effectLst/>
            </c:spPr>
            <c:extLst>
              <c:ext xmlns:c16="http://schemas.microsoft.com/office/drawing/2014/chart" uri="{C3380CC4-5D6E-409C-BE32-E72D297353CC}">
                <c16:uniqueId val="{0000000E-9F35-4F26-A008-F1BB21D9CC25}"/>
              </c:ext>
            </c:extLst>
          </c:dPt>
          <c:dPt>
            <c:idx val="3"/>
            <c:invertIfNegative val="0"/>
            <c:bubble3D val="0"/>
            <c:spPr>
              <a:solidFill>
                <a:srgbClr val="FF0000"/>
              </a:solidFill>
              <a:ln>
                <a:noFill/>
              </a:ln>
              <a:effectLst/>
            </c:spPr>
            <c:extLst>
              <c:ext xmlns:c16="http://schemas.microsoft.com/office/drawing/2014/chart" uri="{C3380CC4-5D6E-409C-BE32-E72D297353CC}">
                <c16:uniqueId val="{0000000B-9F35-4F26-A008-F1BB21D9CC25}"/>
              </c:ext>
            </c:extLst>
          </c:dPt>
          <c:cat>
            <c:strRef>
              <c:f>PIVOT!$A$4:$A$8</c:f>
              <c:strCache>
                <c:ptCount val="4"/>
                <c:pt idx="0">
                  <c:v>Diesel</c:v>
                </c:pt>
                <c:pt idx="1">
                  <c:v>Gas</c:v>
                </c:pt>
                <c:pt idx="2">
                  <c:v>Kerosene</c:v>
                </c:pt>
                <c:pt idx="3">
                  <c:v>PMS</c:v>
                </c:pt>
              </c:strCache>
            </c:strRef>
          </c:cat>
          <c:val>
            <c:numRef>
              <c:f>PIVOT!$B$4:$B$8</c:f>
              <c:numCache>
                <c:formatCode>General</c:formatCode>
                <c:ptCount val="4"/>
                <c:pt idx="0">
                  <c:v>27000000</c:v>
                </c:pt>
                <c:pt idx="1">
                  <c:v>25200000</c:v>
                </c:pt>
                <c:pt idx="2">
                  <c:v>17658000</c:v>
                </c:pt>
                <c:pt idx="3">
                  <c:v>25245000</c:v>
                </c:pt>
              </c:numCache>
            </c:numRef>
          </c:val>
          <c:extLst>
            <c:ext xmlns:c16="http://schemas.microsoft.com/office/drawing/2014/chart" uri="{C3380CC4-5D6E-409C-BE32-E72D297353CC}">
              <c16:uniqueId val="{0000000A-9F35-4F26-A008-F1BB21D9CC25}"/>
            </c:ext>
          </c:extLst>
        </c:ser>
        <c:dLbls>
          <c:showLegendKey val="0"/>
          <c:showVal val="0"/>
          <c:showCatName val="0"/>
          <c:showSerName val="0"/>
          <c:showPercent val="0"/>
          <c:showBubbleSize val="0"/>
        </c:dLbls>
        <c:gapWidth val="182"/>
        <c:axId val="58514960"/>
        <c:axId val="58522448"/>
      </c:barChart>
      <c:catAx>
        <c:axId val="5851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22448"/>
        <c:crosses val="autoZero"/>
        <c:auto val="1"/>
        <c:lblAlgn val="ctr"/>
        <c:lblOffset val="100"/>
        <c:noMultiLvlLbl val="0"/>
      </c:catAx>
      <c:valAx>
        <c:axId val="5852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[ELSA_OIL_DATASET.xlsx]PIVOT2!PivotTable6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Operational KPI Status Overview</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pivotFmt>
      <c:pivotFmt>
        <c:idx val="8"/>
        <c:spPr>
          <a:solidFill>
            <a:srgbClr val="FF0000"/>
          </a:solidFill>
          <a:ln w="19050">
            <a:solidFill>
              <a:schemeClr val="lt1"/>
            </a:solidFill>
          </a:ln>
          <a:effectLst/>
        </c:spPr>
      </c:pivotFmt>
    </c:pivotFmts>
    <c:plotArea>
      <c:layout/>
      <c:doughnutChart>
        <c:varyColors val="1"/>
        <c:ser>
          <c:idx val="0"/>
          <c:order val="0"/>
          <c:tx>
            <c:strRef>
              <c:f>PIVOT2!$B$3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0AE5-433C-9A4B-8F6C7E55607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AE5-433C-9A4B-8F6C7E556074}"/>
              </c:ext>
            </c:extLst>
          </c:dPt>
          <c:cat>
            <c:strRef>
              <c:f>PIVOT2!$A$4:$A$6</c:f>
              <c:strCache>
                <c:ptCount val="2"/>
                <c:pt idx="0">
                  <c:v>OK</c:v>
                </c:pt>
                <c:pt idx="1">
                  <c:v>REORDER</c:v>
                </c:pt>
              </c:strCache>
            </c:strRef>
          </c:cat>
          <c:val>
            <c:numRef>
              <c:f>PIVOT2!$B$4:$B$6</c:f>
              <c:numCache>
                <c:formatCode>General</c:formatCode>
                <c:ptCount val="2"/>
                <c:pt idx="0">
                  <c:v>4</c:v>
                </c:pt>
                <c:pt idx="1">
                  <c:v>12</c:v>
                </c:pt>
              </c:numCache>
            </c:numRef>
          </c:val>
          <c:extLst>
            <c:ext xmlns:c16="http://schemas.microsoft.com/office/drawing/2014/chart" uri="{C3380CC4-5D6E-409C-BE32-E72D297353CC}">
              <c16:uniqueId val="{00000004-0AE5-433C-9A4B-8F6C7E5560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[ELSA_OIL_DATASET.xlsx]PIVOT!PivotTable5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vs Sum of Cost per Tank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7030A0"/>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pivotFmt>
      <c:pivotFmt>
        <c:idx val="6"/>
        <c:spPr>
          <a:solidFill>
            <a:srgbClr val="00B050"/>
          </a:solidFill>
          <a:ln>
            <a:noFill/>
          </a:ln>
          <a:effectLst/>
        </c:spPr>
      </c:pivotFmt>
      <c:pivotFmt>
        <c:idx val="7"/>
        <c:spPr>
          <a:solidFill>
            <a:srgbClr val="C0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pivotFmt>
      <c:pivotFmt>
        <c:idx val="10"/>
        <c:spPr>
          <a:solidFill>
            <a:srgbClr val="00B050"/>
          </a:solidFill>
          <a:ln>
            <a:noFill/>
          </a:ln>
          <a:effectLst/>
        </c:spPr>
      </c:pivotFmt>
      <c:pivotFmt>
        <c:idx val="11"/>
        <c:spPr>
          <a:solidFill>
            <a:srgbClr val="C000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pivotFmt>
      <c:pivotFmt>
        <c:idx val="16"/>
        <c:spPr>
          <a:solidFill>
            <a:srgbClr val="0070C0"/>
          </a:solidFill>
          <a:ln>
            <a:noFill/>
          </a:ln>
          <a:effectLst/>
        </c:spPr>
      </c:pivotFmt>
      <c:pivotFmt>
        <c:idx val="17"/>
        <c:spPr>
          <a:solidFill>
            <a:srgbClr val="FFC000"/>
          </a:solidFill>
          <a:ln>
            <a:noFill/>
          </a:ln>
          <a:effectLst/>
        </c:spPr>
      </c:pivotFmt>
      <c:pivotFmt>
        <c:idx val="18"/>
        <c:spPr>
          <a:solidFill>
            <a:srgbClr val="92D050"/>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70C0"/>
          </a:solidFill>
          <a:ln>
            <a:noFill/>
          </a:ln>
          <a:effectLst/>
        </c:spPr>
      </c:pivotFmt>
      <c:pivotFmt>
        <c:idx val="21"/>
        <c:spPr>
          <a:solidFill>
            <a:srgbClr val="FFC000"/>
          </a:solidFill>
          <a:ln>
            <a:noFill/>
          </a:ln>
          <a:effectLst/>
        </c:spPr>
      </c:pivotFmt>
      <c:pivotFmt>
        <c:idx val="22"/>
        <c:spPr>
          <a:solidFill>
            <a:srgbClr val="92D050"/>
          </a:solidFill>
          <a:ln>
            <a:noFill/>
          </a:ln>
          <a:effectLst/>
        </c:spPr>
      </c:pivotFmt>
      <c:pivotFmt>
        <c:idx val="23"/>
        <c:spPr>
          <a:solidFill>
            <a:srgbClr val="FF0000"/>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0070C0"/>
          </a:solidFill>
          <a:ln>
            <a:noFill/>
          </a:ln>
          <a:effectLst/>
        </c:spPr>
      </c:pivotFmt>
      <c:pivotFmt>
        <c:idx val="26"/>
        <c:spPr>
          <a:solidFill>
            <a:srgbClr val="FFC000"/>
          </a:solidFill>
          <a:ln>
            <a:noFill/>
          </a:ln>
          <a:effectLst/>
        </c:spPr>
      </c:pivotFmt>
      <c:pivotFmt>
        <c:idx val="27"/>
        <c:spPr>
          <a:solidFill>
            <a:srgbClr val="92D050"/>
          </a:solidFill>
          <a:ln>
            <a:noFill/>
          </a:ln>
          <a:effectLst/>
        </c:spPr>
      </c:pivotFmt>
      <c:pivotFmt>
        <c:idx val="28"/>
        <c:spPr>
          <a:solidFill>
            <a:srgbClr val="FF0000"/>
          </a:solidFill>
          <a:ln>
            <a:noFill/>
          </a:ln>
          <a:effectLst/>
        </c:spPr>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49E3-4568-857A-90B5E74E3468}"/>
              </c:ext>
            </c:extLst>
          </c:dPt>
          <c:dPt>
            <c:idx val="1"/>
            <c:invertIfNegative val="0"/>
            <c:bubble3D val="0"/>
            <c:spPr>
              <a:solidFill>
                <a:srgbClr val="FFC000"/>
              </a:solidFill>
              <a:ln>
                <a:noFill/>
              </a:ln>
              <a:effectLst/>
            </c:spPr>
            <c:extLst>
              <c:ext xmlns:c16="http://schemas.microsoft.com/office/drawing/2014/chart" uri="{C3380CC4-5D6E-409C-BE32-E72D297353CC}">
                <c16:uniqueId val="{00000003-49E3-4568-857A-90B5E74E3468}"/>
              </c:ext>
            </c:extLst>
          </c:dPt>
          <c:dPt>
            <c:idx val="2"/>
            <c:invertIfNegative val="0"/>
            <c:bubble3D val="0"/>
            <c:spPr>
              <a:solidFill>
                <a:srgbClr val="92D050"/>
              </a:solidFill>
              <a:ln>
                <a:noFill/>
              </a:ln>
              <a:effectLst/>
            </c:spPr>
            <c:extLst>
              <c:ext xmlns:c16="http://schemas.microsoft.com/office/drawing/2014/chart" uri="{C3380CC4-5D6E-409C-BE32-E72D297353CC}">
                <c16:uniqueId val="{00000005-49E3-4568-857A-90B5E74E3468}"/>
              </c:ext>
            </c:extLst>
          </c:dPt>
          <c:dPt>
            <c:idx val="3"/>
            <c:invertIfNegative val="0"/>
            <c:bubble3D val="0"/>
            <c:spPr>
              <a:solidFill>
                <a:srgbClr val="FF0000"/>
              </a:solidFill>
              <a:ln>
                <a:noFill/>
              </a:ln>
              <a:effectLst/>
            </c:spPr>
            <c:extLst>
              <c:ext xmlns:c16="http://schemas.microsoft.com/office/drawing/2014/chart" uri="{C3380CC4-5D6E-409C-BE32-E72D297353CC}">
                <c16:uniqueId val="{00000007-49E3-4568-857A-90B5E74E3468}"/>
              </c:ext>
            </c:extLst>
          </c:dPt>
          <c:cat>
            <c:strRef>
              <c:f>PIVOT!$A$4:$A$8</c:f>
              <c:strCache>
                <c:ptCount val="4"/>
                <c:pt idx="0">
                  <c:v>Diesel</c:v>
                </c:pt>
                <c:pt idx="1">
                  <c:v>Gas</c:v>
                </c:pt>
                <c:pt idx="2">
                  <c:v>Kerosene</c:v>
                </c:pt>
                <c:pt idx="3">
                  <c:v>PMS</c:v>
                </c:pt>
              </c:strCache>
            </c:strRef>
          </c:cat>
          <c:val>
            <c:numRef>
              <c:f>PIVOT!$B$4:$B$8</c:f>
              <c:numCache>
                <c:formatCode>General</c:formatCode>
                <c:ptCount val="4"/>
                <c:pt idx="0">
                  <c:v>27000000</c:v>
                </c:pt>
                <c:pt idx="1">
                  <c:v>25200000</c:v>
                </c:pt>
                <c:pt idx="2">
                  <c:v>17658000</c:v>
                </c:pt>
                <c:pt idx="3">
                  <c:v>25245000</c:v>
                </c:pt>
              </c:numCache>
            </c:numRef>
          </c:val>
          <c:extLst>
            <c:ext xmlns:c16="http://schemas.microsoft.com/office/drawing/2014/chart" uri="{C3380CC4-5D6E-409C-BE32-E72D297353CC}">
              <c16:uniqueId val="{00000008-49E3-4568-857A-90B5E74E3468}"/>
            </c:ext>
          </c:extLst>
        </c:ser>
        <c:dLbls>
          <c:showLegendKey val="0"/>
          <c:showVal val="0"/>
          <c:showCatName val="0"/>
          <c:showSerName val="0"/>
          <c:showPercent val="0"/>
          <c:showBubbleSize val="0"/>
        </c:dLbls>
        <c:gapWidth val="182"/>
        <c:axId val="58514960"/>
        <c:axId val="58522448"/>
      </c:barChart>
      <c:catAx>
        <c:axId val="5851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22448"/>
        <c:crosses val="autoZero"/>
        <c:auto val="1"/>
        <c:lblAlgn val="ctr"/>
        <c:lblOffset val="100"/>
        <c:noMultiLvlLbl val="0"/>
      </c:catAx>
      <c:valAx>
        <c:axId val="5852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[ELSA_OIL_DATASET.xlsx]PIVOT2!PivotTable6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Operational KPI Status Overview</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pivotFmt>
      <c:pivotFmt>
        <c:idx val="8"/>
        <c:spPr>
          <a:solidFill>
            <a:srgbClr val="FF0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50"/>
          </a:solidFill>
          <a:ln w="19050">
            <a:solidFill>
              <a:schemeClr val="lt1"/>
            </a:solidFill>
          </a:ln>
          <a:effectLst/>
        </c:spPr>
      </c:pivotFmt>
      <c:pivotFmt>
        <c:idx val="14"/>
        <c:spPr>
          <a:solidFill>
            <a:srgbClr val="FF0000"/>
          </a:solidFill>
          <a:ln w="19050">
            <a:solidFill>
              <a:schemeClr val="lt1"/>
            </a:solidFill>
          </a:ln>
          <a:effectLst/>
        </c:spPr>
      </c:pivotFmt>
    </c:pivotFmts>
    <c:plotArea>
      <c:layout/>
      <c:doughnutChart>
        <c:varyColors val="1"/>
        <c:ser>
          <c:idx val="0"/>
          <c:order val="0"/>
          <c:tx>
            <c:strRef>
              <c:f>PIVOT2!$B$3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9A51-4BA5-99B9-AE8F6BF7E540}"/>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9A51-4BA5-99B9-AE8F6BF7E540}"/>
              </c:ext>
            </c:extLst>
          </c:dPt>
          <c:cat>
            <c:strRef>
              <c:f>PIVOT2!$A$4:$A$6</c:f>
              <c:strCache>
                <c:ptCount val="2"/>
                <c:pt idx="0">
                  <c:v>OK</c:v>
                </c:pt>
                <c:pt idx="1">
                  <c:v>REORDER</c:v>
                </c:pt>
              </c:strCache>
            </c:strRef>
          </c:cat>
          <c:val>
            <c:numRef>
              <c:f>PIVOT2!$B$4:$B$6</c:f>
              <c:numCache>
                <c:formatCode>General</c:formatCode>
                <c:ptCount val="2"/>
                <c:pt idx="0">
                  <c:v>4</c:v>
                </c:pt>
                <c:pt idx="1">
                  <c:v>12</c:v>
                </c:pt>
              </c:numCache>
            </c:numRef>
          </c:val>
          <c:extLst>
            <c:ext xmlns:c16="http://schemas.microsoft.com/office/drawing/2014/chart" uri="{C3380CC4-5D6E-409C-BE32-E72D297353CC}">
              <c16:uniqueId val="{00000004-9A51-4BA5-99B9-AE8F6BF7E5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571500</xdr:colOff>
      <xdr:row>9</xdr:row>
      <xdr:rowOff>6351</xdr:rowOff>
    </xdr:from>
    <xdr:to>
      <xdr:col>9</xdr:col>
      <xdr:colOff>571500</xdr:colOff>
      <xdr:row>16</xdr:row>
      <xdr:rowOff>165100</xdr:rowOff>
    </xdr:to>
    <mc:AlternateContent xmlns:mc="http://schemas.openxmlformats.org/markup-compatibility/2006">
      <mc:Choice xmlns:a14="http://schemas.microsoft.com/office/drawing/2010/main" Requires="a14">
        <xdr:graphicFrame macro="">
          <xdr:nvGraphicFramePr>
            <xdr:cNvPr id="4" name="Branch_Name">
              <a:extLst>
                <a:ext uri="{FF2B5EF4-FFF2-40B4-BE49-F238E27FC236}">
                  <a16:creationId xmlns:a16="http://schemas.microsoft.com/office/drawing/2014/main" id="{29513B1A-C504-409B-BD24-515C9BBF128B}"/>
                </a:ext>
              </a:extLst>
            </xdr:cNvPr>
            <xdr:cNvGraphicFramePr/>
          </xdr:nvGraphicFramePr>
          <xdr:xfrm>
            <a:off x="0" y="0"/>
            <a:ext cx="0" cy="0"/>
          </xdr:xfrm>
          <a:graphic>
            <a:graphicData uri="http://schemas.microsoft.com/office/drawing/2010/slicer">
              <sle:slicer xmlns:sle="http://schemas.microsoft.com/office/drawing/2010/slicer" name="Branch_Name"/>
            </a:graphicData>
          </a:graphic>
        </xdr:graphicFrame>
      </mc:Choice>
      <mc:Fallback>
        <xdr:sp macro="" textlink="">
          <xdr:nvSpPr>
            <xdr:cNvPr id="0" name=""/>
            <xdr:cNvSpPr>
              <a:spLocks noTextEdit="1"/>
            </xdr:cNvSpPr>
          </xdr:nvSpPr>
          <xdr:spPr>
            <a:xfrm>
              <a:off x="5149850" y="1663701"/>
              <a:ext cx="182880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31750</xdr:colOff>
      <xdr:row>9</xdr:row>
      <xdr:rowOff>19051</xdr:rowOff>
    </xdr:from>
    <xdr:to>
      <xdr:col>6</xdr:col>
      <xdr:colOff>31750</xdr:colOff>
      <xdr:row>17</xdr:row>
      <xdr:rowOff>25400</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4038E226-62DE-4230-8C3D-837ABF0EA4F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781300" y="1676401"/>
              <a:ext cx="1828800" cy="1479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730250</xdr:colOff>
      <xdr:row>9</xdr:row>
      <xdr:rowOff>12701</xdr:rowOff>
    </xdr:from>
    <xdr:to>
      <xdr:col>2</xdr:col>
      <xdr:colOff>419100</xdr:colOff>
      <xdr:row>16</xdr:row>
      <xdr:rowOff>177800</xdr:rowOff>
    </xdr:to>
    <mc:AlternateContent xmlns:mc="http://schemas.openxmlformats.org/markup-compatibility/2006">
      <mc:Choice xmlns:a14="http://schemas.microsoft.com/office/drawing/2010/main" Requires="a14">
        <xdr:graphicFrame macro="">
          <xdr:nvGraphicFramePr>
            <xdr:cNvPr id="6" name="KPI_Status">
              <a:extLst>
                <a:ext uri="{FF2B5EF4-FFF2-40B4-BE49-F238E27FC236}">
                  <a16:creationId xmlns:a16="http://schemas.microsoft.com/office/drawing/2014/main" id="{337CFBD2-C834-415B-992C-8ED80D756D16}"/>
                </a:ext>
              </a:extLst>
            </xdr:cNvPr>
            <xdr:cNvGraphicFramePr/>
          </xdr:nvGraphicFramePr>
          <xdr:xfrm>
            <a:off x="0" y="0"/>
            <a:ext cx="0" cy="0"/>
          </xdr:xfrm>
          <a:graphic>
            <a:graphicData uri="http://schemas.microsoft.com/office/drawing/2010/slicer">
              <sle:slicer xmlns:sle="http://schemas.microsoft.com/office/drawing/2010/slicer" name="KPI_Status"/>
            </a:graphicData>
          </a:graphic>
        </xdr:graphicFrame>
      </mc:Choice>
      <mc:Fallback>
        <xdr:sp macro="" textlink="">
          <xdr:nvSpPr>
            <xdr:cNvPr id="0" name=""/>
            <xdr:cNvSpPr>
              <a:spLocks noTextEdit="1"/>
            </xdr:cNvSpPr>
          </xdr:nvSpPr>
          <xdr:spPr>
            <a:xfrm>
              <a:off x="730250" y="1670051"/>
              <a:ext cx="1828800" cy="1454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431800</xdr:colOff>
      <xdr:row>1</xdr:row>
      <xdr:rowOff>12700</xdr:rowOff>
    </xdr:from>
    <xdr:to>
      <xdr:col>11</xdr:col>
      <xdr:colOff>127000</xdr:colOff>
      <xdr:row>15</xdr:row>
      <xdr:rowOff>177800</xdr:rowOff>
    </xdr:to>
    <xdr:graphicFrame macro="">
      <xdr:nvGraphicFramePr>
        <xdr:cNvPr id="2" name="Chart 1">
          <a:extLst>
            <a:ext uri="{FF2B5EF4-FFF2-40B4-BE49-F238E27FC236}">
              <a16:creationId xmlns:a16="http://schemas.microsoft.com/office/drawing/2014/main" id="{A5B255A5-9F3F-413A-9F22-BEAD9E624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158750</xdr:colOff>
      <xdr:row>16</xdr:row>
      <xdr:rowOff>120650</xdr:rowOff>
    </xdr:from>
    <xdr:to>
      <xdr:col>5</xdr:col>
      <xdr:colOff>152400</xdr:colOff>
      <xdr:row>31</xdr:row>
      <xdr:rowOff>101600</xdr:rowOff>
    </xdr:to>
    <xdr:graphicFrame macro="">
      <xdr:nvGraphicFramePr>
        <xdr:cNvPr id="3" name="Chart 2">
          <a:extLst>
            <a:ext uri="{FF2B5EF4-FFF2-40B4-BE49-F238E27FC236}">
              <a16:creationId xmlns:a16="http://schemas.microsoft.com/office/drawing/2014/main" id="{BF462B33-B937-465A-8AE8-7A736A571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8</xdr:row>
      <xdr:rowOff>133350</xdr:rowOff>
    </xdr:from>
    <xdr:to>
      <xdr:col>7</xdr:col>
      <xdr:colOff>146050</xdr:colOff>
      <xdr:row>23</xdr:row>
      <xdr:rowOff>114300</xdr:rowOff>
    </xdr:to>
    <xdr:graphicFrame macro="">
      <xdr:nvGraphicFramePr>
        <xdr:cNvPr id="2" name="Chart 1">
          <a:extLst>
            <a:ext uri="{FF2B5EF4-FFF2-40B4-BE49-F238E27FC236}">
              <a16:creationId xmlns:a16="http://schemas.microsoft.com/office/drawing/2014/main" id="{5193D40C-DB9C-4FC0-8CC2-901ECE599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9</xdr:row>
      <xdr:rowOff>6350</xdr:rowOff>
    </xdr:from>
    <xdr:to>
      <xdr:col>15</xdr:col>
      <xdr:colOff>469900</xdr:colOff>
      <xdr:row>23</xdr:row>
      <xdr:rowOff>171450</xdr:rowOff>
    </xdr:to>
    <xdr:graphicFrame macro="">
      <xdr:nvGraphicFramePr>
        <xdr:cNvPr id="3" name="Chart 2">
          <a:extLst>
            <a:ext uri="{FF2B5EF4-FFF2-40B4-BE49-F238E27FC236}">
              <a16:creationId xmlns:a16="http://schemas.microsoft.com/office/drawing/2014/main" id="{996E4206-2C45-480D-BBC8-5EDE0138A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158750</xdr:colOff>
      <xdr:row>0</xdr:row>
      <xdr:rowOff>31750</xdr:rowOff>
    </xdr:from>
    <xdr:to>
      <xdr:col>3</xdr:col>
      <xdr:colOff>158750</xdr:colOff>
      <xdr:row>8</xdr:row>
      <xdr:rowOff>6349</xdr:rowOff>
    </xdr:to>
    <mc:AlternateContent xmlns:mc="http://schemas.openxmlformats.org/markup-compatibility/2006">
      <mc:Choice xmlns:a14="http://schemas.microsoft.com/office/drawing/2010/main" Requires="a14">
        <xdr:graphicFrame macro="">
          <xdr:nvGraphicFramePr>
            <xdr:cNvPr id="4" name="Branch_Name 1">
              <a:extLst>
                <a:ext uri="{FF2B5EF4-FFF2-40B4-BE49-F238E27FC236}">
                  <a16:creationId xmlns:a16="http://schemas.microsoft.com/office/drawing/2014/main" id="{E1222FB9-D17E-4FA0-890B-E512B62E30F9}"/>
                </a:ext>
              </a:extLst>
            </xdr:cNvPr>
            <xdr:cNvGraphicFramePr/>
          </xdr:nvGraphicFramePr>
          <xdr:xfrm>
            <a:off x="0" y="0"/>
            <a:ext cx="0" cy="0"/>
          </xdr:xfrm>
          <a:graphic>
            <a:graphicData uri="http://schemas.microsoft.com/office/drawing/2010/slicer">
              <sle:slicer xmlns:sle="http://schemas.microsoft.com/office/drawing/2010/slicer" name="Branch_Name 1"/>
            </a:graphicData>
          </a:graphic>
        </xdr:graphicFrame>
      </mc:Choice>
      <mc:Fallback>
        <xdr:sp macro="" textlink="">
          <xdr:nvSpPr>
            <xdr:cNvPr id="0" name=""/>
            <xdr:cNvSpPr>
              <a:spLocks noTextEdit="1"/>
            </xdr:cNvSpPr>
          </xdr:nvSpPr>
          <xdr:spPr>
            <a:xfrm>
              <a:off x="158750" y="31750"/>
              <a:ext cx="182880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381000</xdr:colOff>
      <xdr:row>0</xdr:row>
      <xdr:rowOff>25400</xdr:rowOff>
    </xdr:from>
    <xdr:to>
      <xdr:col>9</xdr:col>
      <xdr:colOff>381000</xdr:colOff>
      <xdr:row>8</xdr:row>
      <xdr:rowOff>31749</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1942C1EB-54B9-4085-BAAC-86524C97E41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038600" y="25400"/>
              <a:ext cx="1828800" cy="1479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450850</xdr:colOff>
      <xdr:row>0</xdr:row>
      <xdr:rowOff>38100</xdr:rowOff>
    </xdr:from>
    <xdr:to>
      <xdr:col>15</xdr:col>
      <xdr:colOff>450850</xdr:colOff>
      <xdr:row>8</xdr:row>
      <xdr:rowOff>19049</xdr:rowOff>
    </xdr:to>
    <mc:AlternateContent xmlns:mc="http://schemas.openxmlformats.org/markup-compatibility/2006">
      <mc:Choice xmlns:a14="http://schemas.microsoft.com/office/drawing/2010/main" Requires="a14">
        <xdr:graphicFrame macro="">
          <xdr:nvGraphicFramePr>
            <xdr:cNvPr id="6" name="KPI_Status 1">
              <a:extLst>
                <a:ext uri="{FF2B5EF4-FFF2-40B4-BE49-F238E27FC236}">
                  <a16:creationId xmlns:a16="http://schemas.microsoft.com/office/drawing/2014/main" id="{469E10D1-2C9E-4636-A3EB-DB93F9DD4695}"/>
                </a:ext>
              </a:extLst>
            </xdr:cNvPr>
            <xdr:cNvGraphicFramePr/>
          </xdr:nvGraphicFramePr>
          <xdr:xfrm>
            <a:off x="0" y="0"/>
            <a:ext cx="0" cy="0"/>
          </xdr:xfrm>
          <a:graphic>
            <a:graphicData uri="http://schemas.microsoft.com/office/drawing/2010/slicer">
              <sle:slicer xmlns:sle="http://schemas.microsoft.com/office/drawing/2010/slicer" name="KPI_Status 1"/>
            </a:graphicData>
          </a:graphic>
        </xdr:graphicFrame>
      </mc:Choice>
      <mc:Fallback>
        <xdr:sp macro="" textlink="">
          <xdr:nvSpPr>
            <xdr:cNvPr id="0" name=""/>
            <xdr:cNvSpPr>
              <a:spLocks noTextEdit="1"/>
            </xdr:cNvSpPr>
          </xdr:nvSpPr>
          <xdr:spPr>
            <a:xfrm>
              <a:off x="7766050" y="38100"/>
              <a:ext cx="1828800" cy="1454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3.128123842595" createdVersion="7" refreshedVersion="7" minRefreshableVersion="3" recordCount="16" xr:uid="{A3F2274B-C29C-4C5D-89C0-5B3444512BCC}">
  <cacheSource type="worksheet">
    <worksheetSource name="tbl_oil_data"/>
  </cacheSource>
  <cacheFields count="15">
    <cacheField name="Branch_Name" numFmtId="0">
      <sharedItems count="2">
        <s v="Ekewan Road"/>
        <s v="New Lagos Road"/>
      </sharedItems>
    </cacheField>
    <cacheField name="Product" numFmtId="0">
      <sharedItems count="4">
        <s v="PMS"/>
        <s v="Diesel"/>
        <s v="Kerosene"/>
        <s v="Gas"/>
      </sharedItems>
    </cacheField>
    <cacheField name="Pump_ID" numFmtId="0">
      <sharedItems/>
    </cacheField>
    <cacheField name="Product_ID" numFmtId="0">
      <sharedItems/>
    </cacheField>
    <cacheField name="Pump_Attendant_ID" numFmtId="0">
      <sharedItems/>
    </cacheField>
    <cacheField name="Product_Sold_Time" numFmtId="20">
      <sharedItems containsSemiMixedTypes="0" containsNonDate="0" containsDate="1" containsString="0" minDate="1899-12-30T10:30:00" maxDate="1899-12-30T16:05:00"/>
    </cacheField>
    <cacheField name="Tank_Capacity" numFmtId="0">
      <sharedItems containsSemiMixedTypes="0" containsString="0" containsNumber="1" containsInteger="1" minValue="20000" maxValue="33000"/>
    </cacheField>
    <cacheField name="Initial_Stock_60pct" numFmtId="0">
      <sharedItems containsSemiMixedTypes="0" containsString="0" containsNumber="1" containsInteger="1" minValue="12000" maxValue="19800"/>
    </cacheField>
    <cacheField name="Pump_Percentage" numFmtId="0">
      <sharedItems containsSemiMixedTypes="0" containsString="0" containsNumber="1" minValue="0.23" maxValue="1"/>
    </cacheField>
    <cacheField name="Quantity_Sold" numFmtId="0">
      <sharedItems containsSemiMixedTypes="0" containsString="0" containsNumber="1" minValue="4554" maxValue="16800"/>
    </cacheField>
    <cacheField name="Sales_per_Tank" numFmtId="0">
      <sharedItems containsSemiMixedTypes="0" containsString="0" containsNumber="1" containsInteger="1" minValue="4554" maxValue="16800"/>
    </cacheField>
    <cacheField name="Cost_Price" numFmtId="0">
      <sharedItems containsSemiMixedTypes="0" containsString="0" containsNumber="1" minValue="637.5" maxValue="900"/>
    </cacheField>
    <cacheField name="Cost_per_Tank" numFmtId="0">
      <sharedItems containsSemiMixedTypes="0" containsString="0" containsNumber="1" minValue="2903175" maxValue="12600000"/>
    </cacheField>
    <cacheField name="Current_Stock" numFmtId="0">
      <sharedItems containsSemiMixedTypes="0" containsString="0" containsNumber="1" containsInteger="1" minValue="0" maxValue="15246"/>
    </cacheField>
    <cacheField name="KPI_Status" numFmtId="0">
      <sharedItems count="2">
        <s v="REORDER"/>
        <s v="OK"/>
      </sharedItems>
    </cacheField>
  </cacheFields>
  <extLst>
    <ext xmlns:x14="http://schemas.microsoft.com/office/spreadsheetml/2009/9/main" uri="{725AE2AE-9491-48be-B2B4-4EB974FC3084}">
      <x14:pivotCacheDefinition pivotCacheId="1528061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s v="PUMP_01"/>
    <s v="PRD_001"/>
    <s v="EKW_PMS_01"/>
    <d v="1899-12-30T14:00:00"/>
    <n v="33000"/>
    <n v="19800"/>
    <n v="0.28000000000000003"/>
    <n v="5544.0000000000009"/>
    <n v="5544"/>
    <n v="637.5"/>
    <n v="3534300.0000000005"/>
    <n v="14256"/>
    <x v="0"/>
  </r>
  <r>
    <x v="0"/>
    <x v="0"/>
    <s v="PUMP_02"/>
    <s v="PRD_002"/>
    <s v="EKW_PMS_02"/>
    <d v="1899-12-30T14:10:00"/>
    <n v="33000"/>
    <n v="19800"/>
    <n v="0.25"/>
    <n v="4950"/>
    <n v="4950"/>
    <n v="637.5"/>
    <n v="3155625"/>
    <n v="14850"/>
    <x v="0"/>
  </r>
  <r>
    <x v="0"/>
    <x v="0"/>
    <s v="PUMP_03"/>
    <s v="PRD_003"/>
    <s v="EKW_PMS_03"/>
    <d v="1899-12-30T14:30:00"/>
    <n v="33000"/>
    <n v="19800"/>
    <n v="0.23"/>
    <n v="4554"/>
    <n v="4554"/>
    <n v="637.5"/>
    <n v="2903175"/>
    <n v="15246"/>
    <x v="1"/>
  </r>
  <r>
    <x v="0"/>
    <x v="0"/>
    <s v="PUMP_04"/>
    <s v="PRD_004"/>
    <s v="EKW_PMS_04"/>
    <d v="1899-12-30T14:45:00"/>
    <n v="33000"/>
    <n v="19800"/>
    <n v="0.24"/>
    <n v="4752"/>
    <n v="4752"/>
    <n v="637.5"/>
    <n v="3029400"/>
    <n v="15048"/>
    <x v="1"/>
  </r>
  <r>
    <x v="0"/>
    <x v="1"/>
    <s v="PUMP_05"/>
    <s v="PRD_005"/>
    <s v="EKW_DSL_05"/>
    <d v="1899-12-30T15:05:00"/>
    <n v="25000"/>
    <n v="15000"/>
    <n v="0.53"/>
    <n v="7950"/>
    <n v="7950"/>
    <n v="900"/>
    <n v="7155000"/>
    <n v="7050"/>
    <x v="0"/>
  </r>
  <r>
    <x v="0"/>
    <x v="1"/>
    <s v="PUMP_06"/>
    <s v="PRD_006"/>
    <s v="EKW_DSL_06"/>
    <d v="1899-12-30T16:05:00"/>
    <n v="25000"/>
    <n v="15000"/>
    <n v="0.47"/>
    <n v="7050"/>
    <n v="7050"/>
    <n v="900"/>
    <n v="6345000"/>
    <n v="7950"/>
    <x v="0"/>
  </r>
  <r>
    <x v="0"/>
    <x v="2"/>
    <s v="PUMP_07"/>
    <s v="PRD_007"/>
    <s v="EKW_KER_07"/>
    <d v="1899-12-30T15:30:00"/>
    <n v="20000"/>
    <n v="12000"/>
    <n v="1"/>
    <n v="12000"/>
    <n v="12000"/>
    <n v="735.75"/>
    <n v="8829000"/>
    <n v="0"/>
    <x v="0"/>
  </r>
  <r>
    <x v="0"/>
    <x v="3"/>
    <s v="PUMP_08"/>
    <s v="PRD_008"/>
    <s v="EKW_GAS_08"/>
    <d v="1899-12-30T15:55:00"/>
    <n v="28000"/>
    <n v="16800"/>
    <n v="1"/>
    <n v="16800"/>
    <n v="16800"/>
    <n v="750"/>
    <n v="12600000"/>
    <n v="0"/>
    <x v="0"/>
  </r>
  <r>
    <x v="1"/>
    <x v="0"/>
    <s v="PUMP_01"/>
    <s v="PRD_009"/>
    <s v="NLR_PMS_09"/>
    <d v="1899-12-30T10:30:00"/>
    <n v="33000"/>
    <n v="19800"/>
    <n v="0.28000000000000003"/>
    <n v="5544.0000000000009"/>
    <n v="5544"/>
    <n v="637.5"/>
    <n v="3534300.0000000005"/>
    <n v="14256"/>
    <x v="0"/>
  </r>
  <r>
    <x v="1"/>
    <x v="0"/>
    <s v="PUMP_02"/>
    <s v="PRD_010"/>
    <s v="NLR_PMS_10"/>
    <d v="1899-12-30T11:00:00"/>
    <n v="33000"/>
    <n v="19800"/>
    <n v="0.25"/>
    <n v="4950"/>
    <n v="4950"/>
    <n v="637.5"/>
    <n v="3155625"/>
    <n v="14850"/>
    <x v="0"/>
  </r>
  <r>
    <x v="1"/>
    <x v="0"/>
    <s v="PUMP_03"/>
    <s v="PRD_011"/>
    <s v="NLR_PMS_11"/>
    <d v="1899-12-30T11:30:00"/>
    <n v="33000"/>
    <n v="19800"/>
    <n v="0.23"/>
    <n v="4554"/>
    <n v="4554"/>
    <n v="637.5"/>
    <n v="2903175"/>
    <n v="15246"/>
    <x v="1"/>
  </r>
  <r>
    <x v="1"/>
    <x v="0"/>
    <s v="PUMP_04"/>
    <s v="PRD_012"/>
    <s v="NLR_PMS_12"/>
    <d v="1899-12-30T12:00:00"/>
    <n v="33000"/>
    <n v="19800"/>
    <n v="0.24"/>
    <n v="4752"/>
    <n v="4752"/>
    <n v="637.5"/>
    <n v="3029400"/>
    <n v="15048"/>
    <x v="1"/>
  </r>
  <r>
    <x v="1"/>
    <x v="1"/>
    <s v="PUMP_05"/>
    <s v="PRD_013"/>
    <s v="NLR_DSL_13"/>
    <d v="1899-12-30T12:40:00"/>
    <n v="25000"/>
    <n v="15000"/>
    <n v="0.53"/>
    <n v="7950"/>
    <n v="7950"/>
    <n v="900"/>
    <n v="7155000"/>
    <n v="7050"/>
    <x v="0"/>
  </r>
  <r>
    <x v="1"/>
    <x v="1"/>
    <s v="PUMP_06"/>
    <s v="PRD_014"/>
    <s v="NLR_DSL_14"/>
    <d v="1899-12-30T12:55:00"/>
    <n v="25000"/>
    <n v="15000"/>
    <n v="0.47"/>
    <n v="7050"/>
    <n v="7050"/>
    <n v="900"/>
    <n v="6345000"/>
    <n v="7950"/>
    <x v="0"/>
  </r>
  <r>
    <x v="1"/>
    <x v="2"/>
    <s v="PUMP_07"/>
    <s v="PRD_015"/>
    <s v="NLR_KER_15"/>
    <d v="1899-12-30T13:00:00"/>
    <n v="20000"/>
    <n v="12000"/>
    <n v="1"/>
    <n v="12000"/>
    <n v="12000"/>
    <n v="735.75"/>
    <n v="8829000"/>
    <n v="0"/>
    <x v="0"/>
  </r>
  <r>
    <x v="1"/>
    <x v="3"/>
    <s v="PUMP_08"/>
    <s v="PRD_016"/>
    <s v="NLR_GAS_16"/>
    <d v="1899-12-30T13:20:00"/>
    <n v="28000"/>
    <n v="16800"/>
    <n v="1"/>
    <n v="16800"/>
    <n v="16800"/>
    <n v="750"/>
    <n v="1260000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D80FE5-74EF-444C-A48D-3522EED42328}" name="PivotTable5"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rowHeaderCaption="Product">
  <location ref="A3:B8" firstHeaderRow="1" firstDataRow="1" firstDataCol="1"/>
  <pivotFields count="15">
    <pivotField showAll="0">
      <items count="3">
        <item x="0"/>
        <item x="1"/>
        <item t="default"/>
      </items>
    </pivotField>
    <pivotField axis="axisRow" showAll="0">
      <items count="5">
        <item x="1"/>
        <item x="3"/>
        <item x="2"/>
        <item x="0"/>
        <item t="default"/>
      </items>
    </pivotField>
    <pivotField showAll="0"/>
    <pivotField showAll="0"/>
    <pivotField showAll="0"/>
    <pivotField numFmtId="20" showAll="0"/>
    <pivotField showAll="0"/>
    <pivotField showAll="0"/>
    <pivotField showAll="0"/>
    <pivotField showAll="0"/>
    <pivotField showAll="0"/>
    <pivotField showAll="0"/>
    <pivotField dataField="1" showAll="0"/>
    <pivotField showAll="0"/>
    <pivotField showAll="0">
      <items count="3">
        <item x="1"/>
        <item x="0"/>
        <item t="default"/>
      </items>
    </pivotField>
  </pivotFields>
  <rowFields count="1">
    <field x="1"/>
  </rowFields>
  <rowItems count="5">
    <i>
      <x/>
    </i>
    <i>
      <x v="1"/>
    </i>
    <i>
      <x v="2"/>
    </i>
    <i>
      <x v="3"/>
    </i>
    <i t="grand">
      <x/>
    </i>
  </rowItems>
  <colItems count="1">
    <i/>
  </colItems>
  <dataFields count="1">
    <dataField name="Sum of Cost_per_Tank" fld="12" baseField="0" baseItem="0"/>
  </dataFields>
  <chartFormats count="10">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 count="1" selected="0">
            <x v="3"/>
          </reference>
        </references>
      </pivotArea>
    </chartFormat>
    <chartFormat chart="8" format="16">
      <pivotArea type="data" outline="0" fieldPosition="0">
        <references count="2">
          <reference field="4294967294" count="1" selected="0">
            <x v="0"/>
          </reference>
          <reference field="1" count="1" selected="0">
            <x v="0"/>
          </reference>
        </references>
      </pivotArea>
    </chartFormat>
    <chartFormat chart="8" format="17">
      <pivotArea type="data" outline="0" fieldPosition="0">
        <references count="2">
          <reference field="4294967294" count="1" selected="0">
            <x v="0"/>
          </reference>
          <reference field="1" count="1" selected="0">
            <x v="1"/>
          </reference>
        </references>
      </pivotArea>
    </chartFormat>
    <chartFormat chart="8" format="18">
      <pivotArea type="data" outline="0" fieldPosition="0">
        <references count="2">
          <reference field="4294967294" count="1" selected="0">
            <x v="0"/>
          </reference>
          <reference field="1" count="1" selected="0">
            <x v="2"/>
          </reference>
        </references>
      </pivotArea>
    </chartFormat>
    <chartFormat chart="14" format="24" series="1">
      <pivotArea type="data" outline="0" fieldPosition="0">
        <references count="1">
          <reference field="4294967294" count="1" selected="0">
            <x v="0"/>
          </reference>
        </references>
      </pivotArea>
    </chartFormat>
    <chartFormat chart="14" format="25">
      <pivotArea type="data" outline="0" fieldPosition="0">
        <references count="2">
          <reference field="4294967294" count="1" selected="0">
            <x v="0"/>
          </reference>
          <reference field="1" count="1" selected="0">
            <x v="0"/>
          </reference>
        </references>
      </pivotArea>
    </chartFormat>
    <chartFormat chart="14" format="26">
      <pivotArea type="data" outline="0" fieldPosition="0">
        <references count="2">
          <reference field="4294967294" count="1" selected="0">
            <x v="0"/>
          </reference>
          <reference field="1" count="1" selected="0">
            <x v="1"/>
          </reference>
        </references>
      </pivotArea>
    </chartFormat>
    <chartFormat chart="14" format="27">
      <pivotArea type="data" outline="0" fieldPosition="0">
        <references count="2">
          <reference field="4294967294" count="1" selected="0">
            <x v="0"/>
          </reference>
          <reference field="1" count="1" selected="0">
            <x v="2"/>
          </reference>
        </references>
      </pivotArea>
    </chartFormat>
    <chartFormat chart="14" format="28">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1D63D7-1F39-4A1C-8BB3-75222BF03D45}" name="PivotTable6"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6" firstHeaderRow="1" firstDataRow="1" firstDataCol="1"/>
  <pivotFields count="15">
    <pivotField showAll="0">
      <items count="3">
        <item x="0"/>
        <item x="1"/>
        <item t="default"/>
      </items>
    </pivotField>
    <pivotField showAll="0">
      <items count="5">
        <item x="1"/>
        <item x="3"/>
        <item x="2"/>
        <item x="0"/>
        <item t="default"/>
      </items>
    </pivotField>
    <pivotField dataField="1" showAll="0"/>
    <pivotField showAll="0"/>
    <pivotField showAll="0"/>
    <pivotField numFmtId="20"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4"/>
  </rowFields>
  <rowItems count="3">
    <i>
      <x/>
    </i>
    <i>
      <x v="1"/>
    </i>
    <i t="grand">
      <x/>
    </i>
  </rowItems>
  <colItems count="1">
    <i/>
  </colItems>
  <dataFields count="1">
    <dataField name="Count of Pump_ID" fld="2" subtotal="count" baseField="0" baseItem="0"/>
  </dataFields>
  <chartFormats count="6">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4" count="1" selected="0">
            <x v="0"/>
          </reference>
        </references>
      </pivotArea>
    </chartFormat>
    <chartFormat chart="7" format="8">
      <pivotArea type="data" outline="0" fieldPosition="0">
        <references count="2">
          <reference field="4294967294" count="1" selected="0">
            <x v="0"/>
          </reference>
          <reference field="1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4" count="1" selected="0">
            <x v="0"/>
          </reference>
        </references>
      </pivotArea>
    </chartFormat>
    <chartFormat chart="10" format="1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D890F661-FDAA-491A-AD46-C91318A9F652}" sourceName="Branch_Name">
  <pivotTables>
    <pivotTable tabId="6" name="PivotTable5"/>
    <pivotTable tabId="9" name="PivotTable6"/>
  </pivotTables>
  <data>
    <tabular pivotCacheId="15280614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F84D023-598E-462E-B475-97490584DB46}" sourceName="Product">
  <pivotTables>
    <pivotTable tabId="6" name="PivotTable5"/>
    <pivotTable tabId="9" name="PivotTable6"/>
  </pivotTables>
  <data>
    <tabular pivotCacheId="1528061462">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PI_Status" xr10:uid="{838364DF-7AC9-4D1B-8BBC-1EF0725B8EC6}" sourceName="KPI_Status">
  <pivotTables>
    <pivotTable tabId="6" name="PivotTable5"/>
    <pivotTable tabId="9" name="PivotTable6"/>
  </pivotTables>
  <data>
    <tabular pivotCacheId="152806146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_Name" xr10:uid="{63777542-478F-498D-8B81-AC552788A5F6}" cache="Slicer_Branch_Name" caption="Branch Filter" rowHeight="241300"/>
  <slicer name="Product" xr10:uid="{C75D0F0C-026F-45AF-B715-B31A265D4572}" cache="Slicer_Product" caption="Product Category" rowHeight="241300"/>
  <slicer name="KPI_Status" xr10:uid="{3BCE4827-627D-4E9E-ACEE-99F99556AD52}" cache="Slicer_KPI_Status" caption="Operational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_Name 1" xr10:uid="{6330F3A9-31CB-4422-BFA2-E126EC8858E7}" cache="Slicer_Branch_Name" caption="Branch Filter" rowHeight="241300"/>
  <slicer name="Product 1" xr10:uid="{B20256E3-6A83-4519-A10F-17A9E8EE344C}" cache="Slicer_Product" caption="Product Category" rowHeight="241300"/>
  <slicer name="KPI_Status 1" xr10:uid="{23EAB920-82A4-4503-B933-E99246D228F0}" cache="Slicer_KPI_Status" caption="Operational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8B4372-108B-4F66-8116-92EB119D28BF}" name="tbl_oil_data" displayName="tbl_oil_data" ref="A1:O17" totalsRowShown="0" headerRowDxfId="1" dataDxfId="2">
  <autoFilter ref="A1:O17" xr:uid="{C38B4372-108B-4F66-8116-92EB119D28BF}"/>
  <tableColumns count="15">
    <tableColumn id="1" xr3:uid="{0C56F072-E6A7-47E8-8EE6-5A15EF215A36}" name="Branch_Name" dataDxfId="17"/>
    <tableColumn id="2" xr3:uid="{37F1DE08-0C0D-43E8-B985-BB916790E58F}" name="Product" dataDxfId="16"/>
    <tableColumn id="3" xr3:uid="{1676C742-B902-48CC-8E7A-B50BD1824C4C}" name="Pump_ID" dataDxfId="15"/>
    <tableColumn id="4" xr3:uid="{F61ABBA9-619A-4D4B-BEAD-1648458B5946}" name="Product_ID" dataDxfId="14"/>
    <tableColumn id="5" xr3:uid="{FFDEC7A3-ABD6-413A-A4EB-19C47D0E15AA}" name="Pump_Attendant_ID" dataDxfId="13"/>
    <tableColumn id="6" xr3:uid="{C31BCC11-15F8-41C4-BFD9-92DB2A520F25}" name="Product_Sold_Time" dataDxfId="12"/>
    <tableColumn id="7" xr3:uid="{8A8283D5-FE62-4F7D-B768-5A4194078F42}" name="Tank_Capacity" dataDxfId="11"/>
    <tableColumn id="8" xr3:uid="{B2E3EB6C-0024-4ECB-A166-0F760F808168}" name="Initial_Stock_60pct" dataDxfId="10">
      <calculatedColumnFormula>(G2*0.6)</calculatedColumnFormula>
    </tableColumn>
    <tableColumn id="9" xr3:uid="{DD4DD99E-6340-43A7-84E2-DFA13FB20CE1}" name="Pump_Percentage" dataDxfId="9"/>
    <tableColumn id="10" xr3:uid="{56B1B3C2-D234-49B4-ACB3-CED769808AA8}" name="Quantity_Sold" dataDxfId="8">
      <calculatedColumnFormula>(H2*I2)</calculatedColumnFormula>
    </tableColumn>
    <tableColumn id="11" xr3:uid="{7A5914DB-5F15-4EC2-A163-999FD6E3FB1C}" name="Sales_per_Tank" dataDxfId="7"/>
    <tableColumn id="12" xr3:uid="{0B6193AC-39CC-473F-A457-D8AA6C21752C}" name="Cost_Price" dataDxfId="6"/>
    <tableColumn id="13" xr3:uid="{C33B56DC-E610-43DA-9407-D1ACAB19FF92}" name="Cost_per_Tank" dataDxfId="5">
      <calculatedColumnFormula>(J2*L2)</calculatedColumnFormula>
    </tableColumn>
    <tableColumn id="14" xr3:uid="{E85D54BE-B498-44A3-9C9B-E81F90DADAC3}" name="Current_Stock" dataDxfId="4">
      <calculatedColumnFormula>(H2-J2)</calculatedColumnFormula>
    </tableColumn>
    <tableColumn id="15" xr3:uid="{88860D33-B5B7-4809-AF3B-BB7D3B445D88}" name="KPI_Status"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
  <sheetViews>
    <sheetView topLeftCell="F1" workbookViewId="0">
      <selection activeCell="K18" sqref="K18"/>
    </sheetView>
  </sheetViews>
  <sheetFormatPr defaultRowHeight="14.5" x14ac:dyDescent="0.35"/>
  <cols>
    <col min="1" max="1" width="14.54296875" customWidth="1"/>
    <col min="2" max="3" width="12.81640625" customWidth="1"/>
    <col min="4" max="4" width="14.90625" customWidth="1"/>
    <col min="5" max="6" width="20.1796875" customWidth="1"/>
    <col min="7" max="7" width="15" customWidth="1"/>
    <col min="8" max="8" width="18.7265625" customWidth="1"/>
    <col min="9" max="9" width="18.08984375" customWidth="1"/>
    <col min="10" max="10" width="14.7265625" customWidth="1"/>
    <col min="11" max="11" width="15.90625" customWidth="1"/>
    <col min="12" max="12" width="13.7265625" customWidth="1"/>
    <col min="13" max="13" width="15.453125" customWidth="1"/>
    <col min="14" max="14" width="15.1796875" customWidth="1"/>
    <col min="15" max="15" width="14.6328125" customWidth="1"/>
  </cols>
  <sheetData>
    <row r="1" spans="1:15" s="1" customFormat="1" ht="15" thickBot="1" x14ac:dyDescent="0.4">
      <c r="A1" s="3" t="s">
        <v>0</v>
      </c>
      <c r="B1" s="4" t="s">
        <v>1</v>
      </c>
      <c r="C1" s="4" t="s">
        <v>54</v>
      </c>
      <c r="D1" s="4" t="s">
        <v>2</v>
      </c>
      <c r="E1" s="4" t="s">
        <v>3</v>
      </c>
      <c r="F1" s="4" t="s">
        <v>53</v>
      </c>
      <c r="G1" s="4" t="s">
        <v>4</v>
      </c>
      <c r="H1" s="4" t="s">
        <v>5</v>
      </c>
      <c r="I1" s="4" t="s">
        <v>6</v>
      </c>
      <c r="J1" s="4" t="s">
        <v>7</v>
      </c>
      <c r="K1" s="4" t="s">
        <v>8</v>
      </c>
      <c r="L1" s="4" t="s">
        <v>9</v>
      </c>
      <c r="M1" s="4" t="s">
        <v>10</v>
      </c>
      <c r="N1" s="4" t="s">
        <v>11</v>
      </c>
      <c r="O1" s="4" t="s">
        <v>12</v>
      </c>
    </row>
    <row r="2" spans="1:15" ht="15" thickTop="1" x14ac:dyDescent="0.35">
      <c r="A2" s="5" t="s">
        <v>13</v>
      </c>
      <c r="B2" s="6" t="s">
        <v>14</v>
      </c>
      <c r="C2" s="6" t="s">
        <v>55</v>
      </c>
      <c r="D2" s="6" t="s">
        <v>15</v>
      </c>
      <c r="E2" s="6" t="s">
        <v>35</v>
      </c>
      <c r="F2" s="7">
        <v>0.58333333333333337</v>
      </c>
      <c r="G2" s="6">
        <v>33000</v>
      </c>
      <c r="H2" s="6">
        <f>(G2*0.6)</f>
        <v>19800</v>
      </c>
      <c r="I2" s="6">
        <v>0.28000000000000003</v>
      </c>
      <c r="J2" s="6">
        <f>(H2*I2)</f>
        <v>5544.0000000000009</v>
      </c>
      <c r="K2" s="6">
        <v>5544</v>
      </c>
      <c r="L2" s="6">
        <f>(850*0.75)</f>
        <v>637.5</v>
      </c>
      <c r="M2" s="6">
        <f>(J2*L2)</f>
        <v>3534300.0000000005</v>
      </c>
      <c r="N2" s="6">
        <f>(H2-J2)</f>
        <v>14256</v>
      </c>
      <c r="O2" s="6" t="s">
        <v>51</v>
      </c>
    </row>
    <row r="3" spans="1:15" x14ac:dyDescent="0.35">
      <c r="A3" s="8" t="s">
        <v>13</v>
      </c>
      <c r="B3" s="2" t="s">
        <v>14</v>
      </c>
      <c r="C3" s="2" t="s">
        <v>56</v>
      </c>
      <c r="D3" s="2" t="s">
        <v>16</v>
      </c>
      <c r="E3" s="2" t="s">
        <v>36</v>
      </c>
      <c r="F3" s="9">
        <v>0.59027777777777779</v>
      </c>
      <c r="G3" s="2">
        <v>33000</v>
      </c>
      <c r="H3" s="2">
        <f t="shared" ref="H3:H5" si="0">(G3*0.6)</f>
        <v>19800</v>
      </c>
      <c r="I3" s="2">
        <v>0.25</v>
      </c>
      <c r="J3" s="2">
        <f t="shared" ref="J3:J17" si="1">(H3*I3)</f>
        <v>4950</v>
      </c>
      <c r="K3" s="2">
        <v>4950</v>
      </c>
      <c r="L3" s="2">
        <f t="shared" ref="L3:L5" si="2">(850*0.75)</f>
        <v>637.5</v>
      </c>
      <c r="M3" s="2">
        <f>(J3*L3)</f>
        <v>3155625</v>
      </c>
      <c r="N3" s="2">
        <f t="shared" ref="N3:N17" si="3">(H3-J3)</f>
        <v>14850</v>
      </c>
      <c r="O3" s="2" t="s">
        <v>51</v>
      </c>
    </row>
    <row r="4" spans="1:15" x14ac:dyDescent="0.35">
      <c r="A4" s="10" t="s">
        <v>13</v>
      </c>
      <c r="B4" s="11" t="s">
        <v>14</v>
      </c>
      <c r="C4" s="11" t="s">
        <v>57</v>
      </c>
      <c r="D4" s="11" t="s">
        <v>17</v>
      </c>
      <c r="E4" s="11" t="s">
        <v>37</v>
      </c>
      <c r="F4" s="12">
        <v>0.60416666666666663</v>
      </c>
      <c r="G4" s="11">
        <v>33000</v>
      </c>
      <c r="H4" s="11">
        <f t="shared" si="0"/>
        <v>19800</v>
      </c>
      <c r="I4" s="11">
        <v>0.23</v>
      </c>
      <c r="J4" s="11">
        <f t="shared" si="1"/>
        <v>4554</v>
      </c>
      <c r="K4" s="11">
        <v>4554</v>
      </c>
      <c r="L4" s="11">
        <f t="shared" si="2"/>
        <v>637.5</v>
      </c>
      <c r="M4" s="11">
        <f>(J4*L4)</f>
        <v>2903175</v>
      </c>
      <c r="N4" s="11">
        <f t="shared" si="3"/>
        <v>15246</v>
      </c>
      <c r="O4" s="11" t="s">
        <v>52</v>
      </c>
    </row>
    <row r="5" spans="1:15" x14ac:dyDescent="0.35">
      <c r="A5" s="8" t="s">
        <v>13</v>
      </c>
      <c r="B5" s="2" t="s">
        <v>14</v>
      </c>
      <c r="C5" s="2" t="s">
        <v>58</v>
      </c>
      <c r="D5" s="2" t="s">
        <v>18</v>
      </c>
      <c r="E5" s="2" t="s">
        <v>38</v>
      </c>
      <c r="F5" s="9">
        <v>0.61458333333333337</v>
      </c>
      <c r="G5" s="2">
        <v>33000</v>
      </c>
      <c r="H5" s="2">
        <f t="shared" si="0"/>
        <v>19800</v>
      </c>
      <c r="I5" s="2">
        <v>0.24</v>
      </c>
      <c r="J5" s="2">
        <f t="shared" si="1"/>
        <v>4752</v>
      </c>
      <c r="K5" s="2">
        <v>4752</v>
      </c>
      <c r="L5" s="2">
        <f t="shared" si="2"/>
        <v>637.5</v>
      </c>
      <c r="M5" s="2">
        <f>(J5*L5)</f>
        <v>3029400</v>
      </c>
      <c r="N5" s="2">
        <f t="shared" si="3"/>
        <v>15048</v>
      </c>
      <c r="O5" s="2" t="s">
        <v>52</v>
      </c>
    </row>
    <row r="6" spans="1:15" x14ac:dyDescent="0.35">
      <c r="A6" s="10" t="s">
        <v>13</v>
      </c>
      <c r="B6" s="11" t="s">
        <v>19</v>
      </c>
      <c r="C6" s="11" t="s">
        <v>59</v>
      </c>
      <c r="D6" s="11" t="s">
        <v>20</v>
      </c>
      <c r="E6" s="11" t="s">
        <v>39</v>
      </c>
      <c r="F6" s="12">
        <v>0.62847222222222221</v>
      </c>
      <c r="G6" s="11">
        <v>25000</v>
      </c>
      <c r="H6" s="11">
        <f>(G6*0.6)</f>
        <v>15000</v>
      </c>
      <c r="I6" s="11">
        <v>0.53</v>
      </c>
      <c r="J6" s="11">
        <f t="shared" si="1"/>
        <v>7950</v>
      </c>
      <c r="K6" s="11">
        <v>7950</v>
      </c>
      <c r="L6" s="11">
        <f>(1200*0.75)</f>
        <v>900</v>
      </c>
      <c r="M6" s="11">
        <f>(J6*L6)</f>
        <v>7155000</v>
      </c>
      <c r="N6" s="11">
        <f t="shared" si="3"/>
        <v>7050</v>
      </c>
      <c r="O6" s="11" t="s">
        <v>51</v>
      </c>
    </row>
    <row r="7" spans="1:15" x14ac:dyDescent="0.35">
      <c r="A7" s="8" t="s">
        <v>13</v>
      </c>
      <c r="B7" s="2" t="s">
        <v>19</v>
      </c>
      <c r="C7" s="2" t="s">
        <v>60</v>
      </c>
      <c r="D7" s="2" t="s">
        <v>21</v>
      </c>
      <c r="E7" s="2" t="s">
        <v>40</v>
      </c>
      <c r="F7" s="9">
        <v>0.67013888888888884</v>
      </c>
      <c r="G7" s="2">
        <v>25000</v>
      </c>
      <c r="H7" s="2">
        <f>(G7*0.6)</f>
        <v>15000</v>
      </c>
      <c r="I7" s="2">
        <v>0.47</v>
      </c>
      <c r="J7" s="2">
        <f t="shared" si="1"/>
        <v>7050</v>
      </c>
      <c r="K7" s="2">
        <v>7050</v>
      </c>
      <c r="L7" s="2">
        <f>(1200*0.75)</f>
        <v>900</v>
      </c>
      <c r="M7" s="2">
        <f>(J7*L7)</f>
        <v>6345000</v>
      </c>
      <c r="N7" s="2">
        <f t="shared" si="3"/>
        <v>7950</v>
      </c>
      <c r="O7" s="2" t="s">
        <v>51</v>
      </c>
    </row>
    <row r="8" spans="1:15" x14ac:dyDescent="0.35">
      <c r="A8" s="10" t="s">
        <v>13</v>
      </c>
      <c r="B8" s="11" t="s">
        <v>22</v>
      </c>
      <c r="C8" s="11" t="s">
        <v>61</v>
      </c>
      <c r="D8" s="11" t="s">
        <v>23</v>
      </c>
      <c r="E8" s="11" t="s">
        <v>41</v>
      </c>
      <c r="F8" s="12">
        <v>0.64583333333333337</v>
      </c>
      <c r="G8" s="11">
        <v>20000</v>
      </c>
      <c r="H8" s="11">
        <f>(G8*0.6)</f>
        <v>12000</v>
      </c>
      <c r="I8" s="11">
        <v>1</v>
      </c>
      <c r="J8" s="11">
        <f t="shared" si="1"/>
        <v>12000</v>
      </c>
      <c r="K8" s="11">
        <v>12000</v>
      </c>
      <c r="L8" s="11">
        <f>(981*0.75)</f>
        <v>735.75</v>
      </c>
      <c r="M8" s="11">
        <f>(J8*L8)</f>
        <v>8829000</v>
      </c>
      <c r="N8" s="11">
        <f t="shared" si="3"/>
        <v>0</v>
      </c>
      <c r="O8" s="11" t="s">
        <v>51</v>
      </c>
    </row>
    <row r="9" spans="1:15" x14ac:dyDescent="0.35">
      <c r="A9" s="8" t="s">
        <v>13</v>
      </c>
      <c r="B9" s="2" t="s">
        <v>24</v>
      </c>
      <c r="C9" s="2" t="s">
        <v>62</v>
      </c>
      <c r="D9" s="2" t="s">
        <v>25</v>
      </c>
      <c r="E9" s="2" t="s">
        <v>42</v>
      </c>
      <c r="F9" s="9">
        <v>0.66319444444444442</v>
      </c>
      <c r="G9" s="2">
        <v>28000</v>
      </c>
      <c r="H9" s="2">
        <f>(G9*0.6)</f>
        <v>16800</v>
      </c>
      <c r="I9" s="2">
        <v>1</v>
      </c>
      <c r="J9" s="2">
        <f t="shared" si="1"/>
        <v>16800</v>
      </c>
      <c r="K9" s="2">
        <v>16800</v>
      </c>
      <c r="L9" s="2">
        <f>(1000*0.75)</f>
        <v>750</v>
      </c>
      <c r="M9" s="2">
        <f>(J9*L9)</f>
        <v>12600000</v>
      </c>
      <c r="N9" s="2">
        <f t="shared" si="3"/>
        <v>0</v>
      </c>
      <c r="O9" s="2" t="s">
        <v>51</v>
      </c>
    </row>
    <row r="10" spans="1:15" x14ac:dyDescent="0.35">
      <c r="A10" s="10" t="s">
        <v>26</v>
      </c>
      <c r="B10" s="11" t="s">
        <v>14</v>
      </c>
      <c r="C10" s="11" t="s">
        <v>55</v>
      </c>
      <c r="D10" s="11" t="s">
        <v>27</v>
      </c>
      <c r="E10" s="11" t="s">
        <v>43</v>
      </c>
      <c r="F10" s="12">
        <v>0.4375</v>
      </c>
      <c r="G10" s="11">
        <v>33000</v>
      </c>
      <c r="H10" s="11">
        <f>(G10*0.6)</f>
        <v>19800</v>
      </c>
      <c r="I10" s="11">
        <v>0.28000000000000003</v>
      </c>
      <c r="J10" s="11">
        <f t="shared" si="1"/>
        <v>5544.0000000000009</v>
      </c>
      <c r="K10" s="11">
        <v>5544</v>
      </c>
      <c r="L10" s="11">
        <f>(850*0.75)</f>
        <v>637.5</v>
      </c>
      <c r="M10" s="11">
        <f>(J10*L10)</f>
        <v>3534300.0000000005</v>
      </c>
      <c r="N10" s="11">
        <f t="shared" si="3"/>
        <v>14256</v>
      </c>
      <c r="O10" s="11" t="s">
        <v>51</v>
      </c>
    </row>
    <row r="11" spans="1:15" x14ac:dyDescent="0.35">
      <c r="A11" s="8" t="s">
        <v>26</v>
      </c>
      <c r="B11" s="2" t="s">
        <v>14</v>
      </c>
      <c r="C11" s="2" t="s">
        <v>56</v>
      </c>
      <c r="D11" s="2" t="s">
        <v>28</v>
      </c>
      <c r="E11" s="2" t="s">
        <v>44</v>
      </c>
      <c r="F11" s="9">
        <v>0.45833333333333331</v>
      </c>
      <c r="G11" s="2">
        <v>33000</v>
      </c>
      <c r="H11" s="2">
        <f t="shared" ref="H11:H13" si="4">(G11*0.6)</f>
        <v>19800</v>
      </c>
      <c r="I11" s="2">
        <v>0.25</v>
      </c>
      <c r="J11" s="2">
        <f t="shared" si="1"/>
        <v>4950</v>
      </c>
      <c r="K11" s="2">
        <v>4950</v>
      </c>
      <c r="L11" s="2">
        <f t="shared" ref="L11:L13" si="5">(850*0.75)</f>
        <v>637.5</v>
      </c>
      <c r="M11" s="2">
        <f>(J11*L11)</f>
        <v>3155625</v>
      </c>
      <c r="N11" s="2">
        <f t="shared" si="3"/>
        <v>14850</v>
      </c>
      <c r="O11" s="2" t="s">
        <v>51</v>
      </c>
    </row>
    <row r="12" spans="1:15" x14ac:dyDescent="0.35">
      <c r="A12" s="10" t="s">
        <v>26</v>
      </c>
      <c r="B12" s="11" t="s">
        <v>14</v>
      </c>
      <c r="C12" s="11" t="s">
        <v>57</v>
      </c>
      <c r="D12" s="11" t="s">
        <v>29</v>
      </c>
      <c r="E12" s="11" t="s">
        <v>45</v>
      </c>
      <c r="F12" s="12">
        <v>0.47916666666666669</v>
      </c>
      <c r="G12" s="11">
        <v>33000</v>
      </c>
      <c r="H12" s="11">
        <f t="shared" si="4"/>
        <v>19800</v>
      </c>
      <c r="I12" s="11">
        <v>0.23</v>
      </c>
      <c r="J12" s="11">
        <f t="shared" si="1"/>
        <v>4554</v>
      </c>
      <c r="K12" s="11">
        <v>4554</v>
      </c>
      <c r="L12" s="11">
        <f t="shared" si="5"/>
        <v>637.5</v>
      </c>
      <c r="M12" s="11">
        <f>(J12*L12)</f>
        <v>2903175</v>
      </c>
      <c r="N12" s="11">
        <f t="shared" si="3"/>
        <v>15246</v>
      </c>
      <c r="O12" s="11" t="s">
        <v>52</v>
      </c>
    </row>
    <row r="13" spans="1:15" x14ac:dyDescent="0.35">
      <c r="A13" s="8" t="s">
        <v>26</v>
      </c>
      <c r="B13" s="2" t="s">
        <v>14</v>
      </c>
      <c r="C13" s="2" t="s">
        <v>58</v>
      </c>
      <c r="D13" s="2" t="s">
        <v>30</v>
      </c>
      <c r="E13" s="2" t="s">
        <v>46</v>
      </c>
      <c r="F13" s="9">
        <v>0.5</v>
      </c>
      <c r="G13" s="2">
        <v>33000</v>
      </c>
      <c r="H13" s="2">
        <f t="shared" si="4"/>
        <v>19800</v>
      </c>
      <c r="I13" s="2">
        <v>0.24</v>
      </c>
      <c r="J13" s="2">
        <f t="shared" si="1"/>
        <v>4752</v>
      </c>
      <c r="K13" s="2">
        <v>4752</v>
      </c>
      <c r="L13" s="2">
        <f t="shared" si="5"/>
        <v>637.5</v>
      </c>
      <c r="M13" s="2">
        <f>(J13*L13)</f>
        <v>3029400</v>
      </c>
      <c r="N13" s="2">
        <f t="shared" si="3"/>
        <v>15048</v>
      </c>
      <c r="O13" s="2" t="s">
        <v>52</v>
      </c>
    </row>
    <row r="14" spans="1:15" x14ac:dyDescent="0.35">
      <c r="A14" s="10" t="s">
        <v>26</v>
      </c>
      <c r="B14" s="11" t="s">
        <v>19</v>
      </c>
      <c r="C14" s="11" t="s">
        <v>59</v>
      </c>
      <c r="D14" s="11" t="s">
        <v>31</v>
      </c>
      <c r="E14" s="11" t="s">
        <v>47</v>
      </c>
      <c r="F14" s="12">
        <v>0.52777777777777779</v>
      </c>
      <c r="G14" s="11">
        <v>25000</v>
      </c>
      <c r="H14" s="11">
        <f>(G14*0.6)</f>
        <v>15000</v>
      </c>
      <c r="I14" s="11">
        <v>0.53</v>
      </c>
      <c r="J14" s="11">
        <f t="shared" si="1"/>
        <v>7950</v>
      </c>
      <c r="K14" s="11">
        <v>7950</v>
      </c>
      <c r="L14" s="11">
        <f>(1200*0.75)</f>
        <v>900</v>
      </c>
      <c r="M14" s="11">
        <f>(J14*L14)</f>
        <v>7155000</v>
      </c>
      <c r="N14" s="11">
        <f t="shared" si="3"/>
        <v>7050</v>
      </c>
      <c r="O14" s="11" t="s">
        <v>51</v>
      </c>
    </row>
    <row r="15" spans="1:15" x14ac:dyDescent="0.35">
      <c r="A15" s="8" t="s">
        <v>26</v>
      </c>
      <c r="B15" s="2" t="s">
        <v>19</v>
      </c>
      <c r="C15" s="2" t="s">
        <v>60</v>
      </c>
      <c r="D15" s="2" t="s">
        <v>32</v>
      </c>
      <c r="E15" s="2" t="s">
        <v>48</v>
      </c>
      <c r="F15" s="9">
        <v>0.53819444444444442</v>
      </c>
      <c r="G15" s="2">
        <v>25000</v>
      </c>
      <c r="H15" s="2">
        <f>(G15*0.6)</f>
        <v>15000</v>
      </c>
      <c r="I15" s="2">
        <v>0.47</v>
      </c>
      <c r="J15" s="2">
        <f t="shared" si="1"/>
        <v>7050</v>
      </c>
      <c r="K15" s="2">
        <v>7050</v>
      </c>
      <c r="L15" s="2">
        <f>(1200*0.75)</f>
        <v>900</v>
      </c>
      <c r="M15" s="2">
        <f>(J15*L15)</f>
        <v>6345000</v>
      </c>
      <c r="N15" s="2">
        <f t="shared" si="3"/>
        <v>7950</v>
      </c>
      <c r="O15" s="2" t="s">
        <v>51</v>
      </c>
    </row>
    <row r="16" spans="1:15" x14ac:dyDescent="0.35">
      <c r="A16" s="10" t="s">
        <v>26</v>
      </c>
      <c r="B16" s="11" t="s">
        <v>22</v>
      </c>
      <c r="C16" s="11" t="s">
        <v>61</v>
      </c>
      <c r="D16" s="11" t="s">
        <v>33</v>
      </c>
      <c r="E16" s="11" t="s">
        <v>49</v>
      </c>
      <c r="F16" s="12">
        <v>0.54166666666666663</v>
      </c>
      <c r="G16" s="11">
        <v>20000</v>
      </c>
      <c r="H16" s="11">
        <f>(G16*0.6)</f>
        <v>12000</v>
      </c>
      <c r="I16" s="11">
        <v>1</v>
      </c>
      <c r="J16" s="11">
        <f t="shared" si="1"/>
        <v>12000</v>
      </c>
      <c r="K16" s="11">
        <v>12000</v>
      </c>
      <c r="L16" s="11">
        <f>(981*0.75)</f>
        <v>735.75</v>
      </c>
      <c r="M16" s="11">
        <f>(J16*L16)</f>
        <v>8829000</v>
      </c>
      <c r="N16" s="11">
        <f t="shared" si="3"/>
        <v>0</v>
      </c>
      <c r="O16" s="11" t="s">
        <v>51</v>
      </c>
    </row>
    <row r="17" spans="1:15" x14ac:dyDescent="0.35">
      <c r="A17" s="8" t="s">
        <v>26</v>
      </c>
      <c r="B17" s="2" t="s">
        <v>24</v>
      </c>
      <c r="C17" s="2" t="s">
        <v>62</v>
      </c>
      <c r="D17" s="2" t="s">
        <v>34</v>
      </c>
      <c r="E17" s="2" t="s">
        <v>50</v>
      </c>
      <c r="F17" s="9">
        <v>0.55555555555555558</v>
      </c>
      <c r="G17" s="2">
        <v>28000</v>
      </c>
      <c r="H17" s="2">
        <f>(G17*0.6)</f>
        <v>16800</v>
      </c>
      <c r="I17" s="2">
        <v>1</v>
      </c>
      <c r="J17" s="2">
        <f t="shared" si="1"/>
        <v>16800</v>
      </c>
      <c r="K17" s="2">
        <v>16800</v>
      </c>
      <c r="L17" s="2">
        <f>(1000*0.75)</f>
        <v>750</v>
      </c>
      <c r="M17" s="2">
        <f>(J17*L17)</f>
        <v>12600000</v>
      </c>
      <c r="N17" s="2">
        <f t="shared" si="3"/>
        <v>0</v>
      </c>
      <c r="O17" s="2" t="s">
        <v>51</v>
      </c>
    </row>
  </sheetData>
  <phoneticPr fontId="2" type="noConversion"/>
  <conditionalFormatting sqref="N1:N17">
    <cfRule type="cellIs" dxfId="0" priority="1" operator="lessThan">
      <formula>15000</formula>
    </cfRule>
  </conditionalFormatting>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D0DE-F9B1-4CE2-9AFA-36F0D2A523B6}">
  <dimension ref="A3:B8"/>
  <sheetViews>
    <sheetView workbookViewId="0">
      <selection activeCell="F18" sqref="F18"/>
    </sheetView>
  </sheetViews>
  <sheetFormatPr defaultRowHeight="14.5" x14ac:dyDescent="0.35"/>
  <cols>
    <col min="1" max="1" width="10.7265625" bestFit="1" customWidth="1"/>
    <col min="2" max="2" width="19.90625" bestFit="1" customWidth="1"/>
  </cols>
  <sheetData>
    <row r="3" spans="1:2" x14ac:dyDescent="0.35">
      <c r="A3" s="13" t="s">
        <v>1</v>
      </c>
      <c r="B3" t="s">
        <v>69</v>
      </c>
    </row>
    <row r="4" spans="1:2" x14ac:dyDescent="0.35">
      <c r="A4" s="14" t="s">
        <v>19</v>
      </c>
      <c r="B4" s="15">
        <v>27000000</v>
      </c>
    </row>
    <row r="5" spans="1:2" x14ac:dyDescent="0.35">
      <c r="A5" s="14" t="s">
        <v>24</v>
      </c>
      <c r="B5" s="15">
        <v>25200000</v>
      </c>
    </row>
    <row r="6" spans="1:2" x14ac:dyDescent="0.35">
      <c r="A6" s="14" t="s">
        <v>22</v>
      </c>
      <c r="B6" s="15">
        <v>17658000</v>
      </c>
    </row>
    <row r="7" spans="1:2" x14ac:dyDescent="0.35">
      <c r="A7" s="14" t="s">
        <v>14</v>
      </c>
      <c r="B7" s="15">
        <v>25245000</v>
      </c>
    </row>
    <row r="8" spans="1:2" x14ac:dyDescent="0.35">
      <c r="A8" s="14" t="s">
        <v>68</v>
      </c>
      <c r="B8" s="15">
        <v>95103000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A4DD1-4426-4BE6-BFEC-23FE08865DC7}">
  <dimension ref="A3:B6"/>
  <sheetViews>
    <sheetView workbookViewId="0">
      <selection activeCell="A3" sqref="A3"/>
    </sheetView>
  </sheetViews>
  <sheetFormatPr defaultRowHeight="14.5" x14ac:dyDescent="0.35"/>
  <cols>
    <col min="1" max="1" width="12.36328125" bestFit="1" customWidth="1"/>
    <col min="2" max="2" width="16.36328125" bestFit="1" customWidth="1"/>
  </cols>
  <sheetData>
    <row r="3" spans="1:2" x14ac:dyDescent="0.35">
      <c r="A3" s="13" t="s">
        <v>67</v>
      </c>
      <c r="B3" t="s">
        <v>70</v>
      </c>
    </row>
    <row r="4" spans="1:2" x14ac:dyDescent="0.35">
      <c r="A4" s="14" t="s">
        <v>52</v>
      </c>
      <c r="B4" s="15">
        <v>4</v>
      </c>
    </row>
    <row r="5" spans="1:2" x14ac:dyDescent="0.35">
      <c r="A5" s="14" t="s">
        <v>51</v>
      </c>
      <c r="B5" s="15">
        <v>12</v>
      </c>
    </row>
    <row r="6" spans="1:2" x14ac:dyDescent="0.35">
      <c r="A6" s="14" t="s">
        <v>68</v>
      </c>
      <c r="B6" s="15">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8C0A9-DE7D-4F6D-923F-4E164F947A99}">
  <dimension ref="A2:C8"/>
  <sheetViews>
    <sheetView topLeftCell="A3" workbookViewId="0">
      <selection activeCell="A12" sqref="A12"/>
    </sheetView>
  </sheetViews>
  <sheetFormatPr defaultRowHeight="14.5" x14ac:dyDescent="0.35"/>
  <cols>
    <col min="1" max="1" width="24.1796875" customWidth="1"/>
  </cols>
  <sheetData>
    <row r="2" spans="1:3" x14ac:dyDescent="0.35">
      <c r="A2" t="s">
        <v>63</v>
      </c>
      <c r="C2">
        <f>SUM(tbl_oil_data[Cost_per_Tank])</f>
        <v>95103000</v>
      </c>
    </row>
    <row r="4" spans="1:3" x14ac:dyDescent="0.35">
      <c r="A4" t="s">
        <v>64</v>
      </c>
      <c r="C4">
        <f>SUM(tbl_oil_data[Quantity_Sold])</f>
        <v>127200</v>
      </c>
    </row>
    <row r="6" spans="1:3" x14ac:dyDescent="0.35">
      <c r="A6" t="s">
        <v>65</v>
      </c>
      <c r="C6">
        <f>SUM(tbl_oil_data[Current_Stock])</f>
        <v>148800</v>
      </c>
    </row>
    <row r="8" spans="1:3" x14ac:dyDescent="0.35">
      <c r="A8" t="s">
        <v>66</v>
      </c>
      <c r="C8">
        <f>COUNTIF(tbl_oil_data[KPI_Status],"REORDER")</f>
        <v>12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AF3C-27B1-4F52-ADCA-DEA2C51ED7BA}">
  <dimension ref="A1"/>
  <sheetViews>
    <sheetView showGridLines="0" tabSelected="1" workbookViewId="0">
      <selection activeCell="H12" sqref="H12"/>
    </sheetView>
  </sheetViews>
  <sheetFormatPr defaultRowHeight="14.5" x14ac:dyDescent="0.35"/>
  <cols>
    <col min="1" max="16384" width="8.7265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C4A3B2-AD78-4E72-8748-15AC614F4C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ELSA_OIL_Data</vt:lpstr>
      <vt:lpstr>PIVOT</vt:lpstr>
      <vt:lpstr>PIVOT2</vt:lpstr>
      <vt:lpstr>KPI_CALC</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2026-02-19T15:27:40Z</dcterms:created>
  <dcterms:modified xsi:type="dcterms:W3CDTF">2026-02-20T04:32:30Z</dcterms:modified>
</cp:coreProperties>
</file>